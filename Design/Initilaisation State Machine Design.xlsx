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wl80\Desktop\Programs\Life2\"/>
    </mc:Choice>
  </mc:AlternateContent>
  <xr:revisionPtr revIDLastSave="0" documentId="13_ncr:1_{277DE487-4C8B-463A-8171-9B0DCB524125}" xr6:coauthVersionLast="47" xr6:coauthVersionMax="47" xr10:uidLastSave="{00000000-0000-0000-0000-000000000000}"/>
  <bookViews>
    <workbookView xWindow="-98" yWindow="-98" windowWidth="21795" windowHeight="13695" activeTab="1" xr2:uid="{F41BBEF3-9D01-44B1-966C-C4B9D6E98BE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2" i="1"/>
  <c r="Q15" i="1"/>
  <c r="Q10" i="1"/>
  <c r="Q11" i="1"/>
  <c r="Q12" i="1"/>
  <c r="Q13" i="1"/>
  <c r="Q14" i="1"/>
  <c r="N3" i="1"/>
  <c r="Q3" i="1" s="1"/>
  <c r="N4" i="1"/>
  <c r="Q4" i="1" s="1"/>
  <c r="N5" i="1"/>
  <c r="Q5" i="1" s="1"/>
  <c r="N6" i="1"/>
  <c r="Q6" i="1" s="1"/>
  <c r="N9" i="1"/>
  <c r="Q9" i="1" s="1"/>
  <c r="N10" i="1"/>
  <c r="N11" i="1"/>
  <c r="N12" i="1"/>
  <c r="N13" i="1"/>
  <c r="N14" i="1"/>
  <c r="N15" i="1"/>
  <c r="N17" i="1"/>
  <c r="L3" i="1"/>
  <c r="L4" i="1"/>
  <c r="L5" i="1"/>
  <c r="L6" i="1"/>
  <c r="L7" i="1"/>
  <c r="N7" i="1" s="1"/>
  <c r="Q7" i="1" s="1"/>
  <c r="L8" i="1"/>
  <c r="N8" i="1" s="1"/>
  <c r="Q8" i="1" s="1"/>
  <c r="L9" i="1"/>
  <c r="L10" i="1"/>
  <c r="L11" i="1"/>
  <c r="L12" i="1"/>
  <c r="L13" i="1"/>
  <c r="L14" i="1"/>
  <c r="L15" i="1"/>
  <c r="L17" i="1"/>
  <c r="L2" i="1"/>
  <c r="N2" i="1" s="1"/>
  <c r="Q2" i="1" s="1"/>
  <c r="B18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2" i="1"/>
  <c r="A18" i="1" s="1"/>
</calcChain>
</file>

<file path=xl/sharedStrings.xml><?xml version="1.0" encoding="utf-8"?>
<sst xmlns="http://schemas.openxmlformats.org/spreadsheetml/2006/main" count="154" uniqueCount="37">
  <si>
    <t>REGION</t>
  </si>
  <si>
    <t>LAYER</t>
  </si>
  <si>
    <t>TYPE</t>
  </si>
  <si>
    <t>INPUT</t>
  </si>
  <si>
    <t>ENTITY</t>
  </si>
  <si>
    <t>INTEGRATION_TIME</t>
  </si>
  <si>
    <t>FLIP_TIME</t>
  </si>
  <si>
    <t>FINISHED</t>
  </si>
  <si>
    <t>nextStates[MAX_STATE]</t>
  </si>
  <si>
    <t>dataLowerLimit</t>
  </si>
  <si>
    <t>dataUpperLimit</t>
  </si>
  <si>
    <t>*initialise</t>
  </si>
  <si>
    <t>Valid next states</t>
  </si>
  <si>
    <t>Current state</t>
  </si>
  <si>
    <t>MAX_REGION</t>
  </si>
  <si>
    <t>MAX_LAYER</t>
  </si>
  <si>
    <t>MAX_MAP</t>
  </si>
  <si>
    <t>MAX_ENTITY</t>
  </si>
  <si>
    <t>MAX_FLIP_TIME</t>
  </si>
  <si>
    <t>MAX_INPUT_PORT</t>
  </si>
  <si>
    <t>mapType.first</t>
  </si>
  <si>
    <t>mapType.last</t>
  </si>
  <si>
    <t>ENTITY_MAX</t>
  </si>
  <si>
    <t>MAX_SAMPLE</t>
  </si>
  <si>
    <t>INPUT_FROM_LAYER</t>
  </si>
  <si>
    <t>INPUT_FROM_ENTITY</t>
  </si>
  <si>
    <t>INPUT_INVERT</t>
  </si>
  <si>
    <t>MAPPING</t>
  </si>
  <si>
    <t>OUTPUT_TO_ENTITY</t>
  </si>
  <si>
    <t>OUTPUT_INVERT</t>
  </si>
  <si>
    <t>Need to be boolean, not entity..</t>
  </si>
  <si>
    <t>NOT_STARTED</t>
  </si>
  <si>
    <t>MAX_CONFIGURATION_STATE</t>
  </si>
  <si>
    <t>{</t>
  </si>
  <si>
    <t>,</t>
  </si>
  <si>
    <t>}},</t>
  </si>
  <si>
    <t>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</si>
</sst>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C012B-B770-46C3-A79B-526DFEAB0131}">
  <dimension ref="A1:S23"/>
  <sheetViews>
    <sheetView workbookViewId="0">
      <selection activeCell="B2" sqref="B2:C16"/>
    </sheetView>
  </sheetViews>
  <sheetFormatPr defaultRowHeight="14.25" x14ac:dyDescent="0.45"/>
  <cols>
    <col min="2" max="2" width="27.796875" bestFit="1" customWidth="1"/>
    <col min="3" max="3" width="21.59765625" customWidth="1"/>
    <col min="4" max="4" width="26.06640625" customWidth="1"/>
    <col min="5" max="5" width="32.73046875" customWidth="1"/>
    <col min="6" max="9" width="21.59765625" customWidth="1"/>
    <col min="10" max="10" width="24.19921875" bestFit="1" customWidth="1"/>
    <col min="17" max="17" width="66.3984375" bestFit="1" customWidth="1"/>
  </cols>
  <sheetData>
    <row r="1" spans="1:19" x14ac:dyDescent="0.45">
      <c r="B1" s="1" t="s">
        <v>13</v>
      </c>
      <c r="C1" s="1" t="s">
        <v>9</v>
      </c>
      <c r="D1" s="1" t="s">
        <v>10</v>
      </c>
      <c r="E1" s="1" t="s">
        <v>11</v>
      </c>
      <c r="F1" s="7" t="s">
        <v>12</v>
      </c>
      <c r="G1" s="8"/>
      <c r="H1" s="8"/>
      <c r="I1" s="8"/>
      <c r="J1" s="9"/>
    </row>
    <row r="2" spans="1:19" x14ac:dyDescent="0.45">
      <c r="A2">
        <f>LEN(B2)</f>
        <v>11</v>
      </c>
      <c r="B2" s="1" t="s">
        <v>31</v>
      </c>
      <c r="C2" s="1">
        <v>0</v>
      </c>
      <c r="D2">
        <v>0</v>
      </c>
      <c r="E2" s="1"/>
      <c r="F2" s="1" t="s">
        <v>0</v>
      </c>
      <c r="G2" s="5" t="s">
        <v>32</v>
      </c>
      <c r="H2" s="1"/>
      <c r="I2" s="1"/>
      <c r="J2" s="6"/>
      <c r="K2" t="s">
        <v>33</v>
      </c>
      <c r="L2" t="str">
        <f>K2&amp;C2</f>
        <v>{0</v>
      </c>
      <c r="M2" t="s">
        <v>34</v>
      </c>
      <c r="N2" t="str">
        <f>L2&amp;M2&amp;D2</f>
        <v>{0,0</v>
      </c>
      <c r="O2" t="s">
        <v>34</v>
      </c>
      <c r="P2" t="s">
        <v>33</v>
      </c>
      <c r="Q2" t="str">
        <f>N2&amp;O2&amp;P2&amp;F2&amp;","&amp;G2</f>
        <v>{0,0,{REGION,MAX_CONFIGURATION_STATE</v>
      </c>
      <c r="R2" t="s">
        <v>35</v>
      </c>
      <c r="S2" t="str">
        <f>Q2&amp;R2</f>
        <v>{0,0,{REGION,MAX_CONFIGURATION_STATE}},</v>
      </c>
    </row>
    <row r="3" spans="1:19" x14ac:dyDescent="0.45">
      <c r="A3">
        <f t="shared" ref="A3:A16" si="0">LEN(B3)</f>
        <v>6</v>
      </c>
      <c r="B3" s="1" t="s">
        <v>0</v>
      </c>
      <c r="C3" s="1">
        <v>0</v>
      </c>
      <c r="D3" s="1" t="s">
        <v>14</v>
      </c>
      <c r="E3" s="1"/>
      <c r="F3" s="1" t="s">
        <v>1</v>
      </c>
      <c r="G3" s="5" t="s">
        <v>32</v>
      </c>
      <c r="H3" s="1"/>
      <c r="I3" s="1"/>
      <c r="J3" s="6"/>
      <c r="K3" t="s">
        <v>33</v>
      </c>
      <c r="L3" t="str">
        <f t="shared" ref="L3:L17" si="1">K3&amp;C3</f>
        <v>{0</v>
      </c>
      <c r="M3" t="s">
        <v>34</v>
      </c>
      <c r="N3" t="str">
        <f t="shared" ref="N3:N17" si="2">L3&amp;M3&amp;D3</f>
        <v>{0,MAX_REGION</v>
      </c>
      <c r="O3" t="s">
        <v>34</v>
      </c>
      <c r="P3" t="s">
        <v>33</v>
      </c>
      <c r="Q3" t="str">
        <f t="shared" ref="Q3:Q14" si="3">N3&amp;O3&amp;P3&amp;F3&amp;","&amp;G3</f>
        <v>{0,MAX_REGION,{LAYER,MAX_CONFIGURATION_STATE</v>
      </c>
      <c r="R3" t="s">
        <v>35</v>
      </c>
      <c r="S3" t="str">
        <f t="shared" ref="S3:S17" si="4">Q3&amp;R3</f>
        <v>{0,MAX_REGION,{LAYER,MAX_CONFIGURATION_STATE}},</v>
      </c>
    </row>
    <row r="4" spans="1:19" x14ac:dyDescent="0.45">
      <c r="A4">
        <f t="shared" si="0"/>
        <v>5</v>
      </c>
      <c r="B4" s="1" t="s">
        <v>1</v>
      </c>
      <c r="C4" s="1">
        <v>0</v>
      </c>
      <c r="D4" s="1" t="s">
        <v>15</v>
      </c>
      <c r="E4" s="1"/>
      <c r="F4" s="1" t="s">
        <v>27</v>
      </c>
      <c r="G4" s="5" t="s">
        <v>32</v>
      </c>
      <c r="H4" s="1"/>
      <c r="I4" s="1"/>
      <c r="J4" s="6"/>
      <c r="K4" t="s">
        <v>33</v>
      </c>
      <c r="L4" t="str">
        <f t="shared" si="1"/>
        <v>{0</v>
      </c>
      <c r="M4" t="s">
        <v>34</v>
      </c>
      <c r="N4" t="str">
        <f t="shared" si="2"/>
        <v>{0,MAX_LAYER</v>
      </c>
      <c r="O4" t="s">
        <v>34</v>
      </c>
      <c r="P4" t="s">
        <v>33</v>
      </c>
      <c r="Q4" t="str">
        <f t="shared" si="3"/>
        <v>{0,MAX_LAYER,{MAPPING,MAX_CONFIGURATION_STATE</v>
      </c>
      <c r="R4" t="s">
        <v>35</v>
      </c>
      <c r="S4" t="str">
        <f t="shared" si="4"/>
        <v>{0,MAX_LAYER,{MAPPING,MAX_CONFIGURATION_STATE}},</v>
      </c>
    </row>
    <row r="5" spans="1:19" x14ac:dyDescent="0.45">
      <c r="A5">
        <f t="shared" si="0"/>
        <v>7</v>
      </c>
      <c r="B5" s="1" t="s">
        <v>27</v>
      </c>
      <c r="C5" s="1">
        <v>0</v>
      </c>
      <c r="D5" s="1" t="s">
        <v>16</v>
      </c>
      <c r="E5" s="2"/>
      <c r="F5" s="1" t="s">
        <v>3</v>
      </c>
      <c r="G5" s="5" t="s">
        <v>32</v>
      </c>
      <c r="H5" s="1"/>
      <c r="I5" s="1"/>
      <c r="J5" s="6"/>
      <c r="K5" t="s">
        <v>33</v>
      </c>
      <c r="L5" t="str">
        <f t="shared" si="1"/>
        <v>{0</v>
      </c>
      <c r="M5" t="s">
        <v>34</v>
      </c>
      <c r="N5" t="str">
        <f t="shared" si="2"/>
        <v>{0,MAX_MAP</v>
      </c>
      <c r="O5" t="s">
        <v>34</v>
      </c>
      <c r="P5" t="s">
        <v>33</v>
      </c>
      <c r="Q5" t="str">
        <f t="shared" si="3"/>
        <v>{0,MAX_MAP,{INPUT,MAX_CONFIGURATION_STATE</v>
      </c>
      <c r="R5" t="s">
        <v>35</v>
      </c>
      <c r="S5" t="str">
        <f t="shared" si="4"/>
        <v>{0,MAX_MAP,{INPUT,MAX_CONFIGURATION_STATE}},</v>
      </c>
    </row>
    <row r="6" spans="1:19" x14ac:dyDescent="0.45">
      <c r="A6">
        <f t="shared" si="0"/>
        <v>5</v>
      </c>
      <c r="B6" s="1" t="s">
        <v>3</v>
      </c>
      <c r="C6" s="1">
        <v>0</v>
      </c>
      <c r="D6" s="1" t="s">
        <v>19</v>
      </c>
      <c r="E6" s="2"/>
      <c r="F6" s="1" t="s">
        <v>24</v>
      </c>
      <c r="G6" s="5" t="s">
        <v>32</v>
      </c>
      <c r="H6" s="1"/>
      <c r="I6" s="1"/>
      <c r="J6" s="6"/>
      <c r="K6" t="s">
        <v>33</v>
      </c>
      <c r="L6" t="str">
        <f t="shared" si="1"/>
        <v>{0</v>
      </c>
      <c r="M6" t="s">
        <v>34</v>
      </c>
      <c r="N6" t="str">
        <f t="shared" si="2"/>
        <v>{0,MAX_INPUT_PORT</v>
      </c>
      <c r="O6" t="s">
        <v>34</v>
      </c>
      <c r="P6" t="s">
        <v>33</v>
      </c>
      <c r="Q6" t="str">
        <f t="shared" si="3"/>
        <v>{0,MAX_INPUT_PORT,{INPUT_FROM_LAYER,MAX_CONFIGURATION_STATE</v>
      </c>
      <c r="R6" t="s">
        <v>35</v>
      </c>
      <c r="S6" t="str">
        <f t="shared" si="4"/>
        <v>{0,MAX_INPUT_PORT,{INPUT_FROM_LAYER,MAX_CONFIGURATION_STATE}},</v>
      </c>
    </row>
    <row r="7" spans="1:19" x14ac:dyDescent="0.45">
      <c r="A7">
        <f t="shared" si="0"/>
        <v>16</v>
      </c>
      <c r="B7" s="1" t="s">
        <v>24</v>
      </c>
      <c r="C7" s="1">
        <v>0</v>
      </c>
      <c r="D7" s="1" t="s">
        <v>15</v>
      </c>
      <c r="E7" s="1"/>
      <c r="F7" s="1" t="s">
        <v>25</v>
      </c>
      <c r="G7" s="5" t="s">
        <v>32</v>
      </c>
      <c r="H7" s="1"/>
      <c r="I7" s="1"/>
      <c r="J7" s="6"/>
      <c r="K7" t="s">
        <v>33</v>
      </c>
      <c r="L7" t="str">
        <f t="shared" si="1"/>
        <v>{0</v>
      </c>
      <c r="M7" t="s">
        <v>34</v>
      </c>
      <c r="N7" t="str">
        <f t="shared" si="2"/>
        <v>{0,MAX_LAYER</v>
      </c>
      <c r="O7" t="s">
        <v>34</v>
      </c>
      <c r="P7" t="s">
        <v>33</v>
      </c>
      <c r="Q7" t="str">
        <f t="shared" si="3"/>
        <v>{0,MAX_LAYER,{INPUT_FROM_ENTITY,MAX_CONFIGURATION_STATE</v>
      </c>
      <c r="R7" t="s">
        <v>35</v>
      </c>
      <c r="S7" t="str">
        <f t="shared" si="4"/>
        <v>{0,MAX_LAYER,{INPUT_FROM_ENTITY,MAX_CONFIGURATION_STATE}},</v>
      </c>
    </row>
    <row r="8" spans="1:19" x14ac:dyDescent="0.45">
      <c r="A8">
        <f t="shared" si="0"/>
        <v>17</v>
      </c>
      <c r="B8" s="1" t="s">
        <v>25</v>
      </c>
      <c r="C8" s="1">
        <v>0</v>
      </c>
      <c r="D8" s="1" t="s">
        <v>17</v>
      </c>
      <c r="E8" s="4" t="s">
        <v>30</v>
      </c>
      <c r="F8" s="1" t="s">
        <v>26</v>
      </c>
      <c r="G8" s="5" t="s">
        <v>32</v>
      </c>
      <c r="H8" s="1"/>
      <c r="I8" s="1"/>
      <c r="J8" s="6"/>
      <c r="K8" t="s">
        <v>33</v>
      </c>
      <c r="L8" t="str">
        <f t="shared" si="1"/>
        <v>{0</v>
      </c>
      <c r="M8" t="s">
        <v>34</v>
      </c>
      <c r="N8" t="str">
        <f t="shared" si="2"/>
        <v>{0,MAX_ENTITY</v>
      </c>
      <c r="O8" t="s">
        <v>34</v>
      </c>
      <c r="P8" t="s">
        <v>33</v>
      </c>
      <c r="Q8" t="str">
        <f t="shared" si="3"/>
        <v>{0,MAX_ENTITY,{INPUT_INVERT,MAX_CONFIGURATION_STATE</v>
      </c>
      <c r="R8" t="s">
        <v>35</v>
      </c>
      <c r="S8" t="str">
        <f t="shared" si="4"/>
        <v>{0,MAX_ENTITY,{INPUT_INVERT,MAX_CONFIGURATION_STATE}},</v>
      </c>
    </row>
    <row r="9" spans="1:19" x14ac:dyDescent="0.45">
      <c r="A9">
        <f t="shared" si="0"/>
        <v>12</v>
      </c>
      <c r="B9" s="1" t="s">
        <v>26</v>
      </c>
      <c r="C9" s="1">
        <v>0</v>
      </c>
      <c r="D9" s="1">
        <v>1</v>
      </c>
      <c r="E9" s="1"/>
      <c r="F9" s="1" t="s">
        <v>3</v>
      </c>
      <c r="G9" s="1" t="s">
        <v>2</v>
      </c>
      <c r="H9" s="5" t="s">
        <v>32</v>
      </c>
      <c r="I9" s="1"/>
      <c r="J9" s="6"/>
      <c r="K9" t="s">
        <v>33</v>
      </c>
      <c r="L9" t="str">
        <f t="shared" si="1"/>
        <v>{0</v>
      </c>
      <c r="M9" t="s">
        <v>34</v>
      </c>
      <c r="N9" t="str">
        <f t="shared" si="2"/>
        <v>{0,1</v>
      </c>
      <c r="O9" t="s">
        <v>34</v>
      </c>
      <c r="P9" t="s">
        <v>33</v>
      </c>
      <c r="Q9" t="str">
        <f>N9&amp;O9&amp;P9&amp;F9&amp;","&amp;G9&amp;","&amp;H9</f>
        <v>{0,1,{INPUT,TYPE,MAX_CONFIGURATION_STATE</v>
      </c>
      <c r="R9" t="s">
        <v>35</v>
      </c>
      <c r="S9" t="str">
        <f t="shared" si="4"/>
        <v>{0,1,{INPUT,TYPE,MAX_CONFIGURATION_STATE}},</v>
      </c>
    </row>
    <row r="10" spans="1:19" x14ac:dyDescent="0.45">
      <c r="A10">
        <f t="shared" si="0"/>
        <v>4</v>
      </c>
      <c r="B10" s="1" t="s">
        <v>2</v>
      </c>
      <c r="C10" s="1" t="s">
        <v>20</v>
      </c>
      <c r="D10" s="1" t="s">
        <v>21</v>
      </c>
      <c r="E10" s="1"/>
      <c r="F10" s="1" t="s">
        <v>28</v>
      </c>
      <c r="G10" s="5" t="s">
        <v>32</v>
      </c>
      <c r="H10" s="1"/>
      <c r="I10" s="1"/>
      <c r="J10" s="6"/>
      <c r="K10" t="s">
        <v>33</v>
      </c>
      <c r="L10" t="str">
        <f t="shared" si="1"/>
        <v>{mapType.first</v>
      </c>
      <c r="M10" t="s">
        <v>34</v>
      </c>
      <c r="N10" t="str">
        <f t="shared" si="2"/>
        <v>{mapType.first,mapType.last</v>
      </c>
      <c r="O10" t="s">
        <v>34</v>
      </c>
      <c r="P10" t="s">
        <v>33</v>
      </c>
      <c r="Q10" t="str">
        <f t="shared" si="3"/>
        <v>{mapType.first,mapType.last,{OUTPUT_TO_ENTITY,MAX_CONFIGURATION_STATE</v>
      </c>
      <c r="R10" t="s">
        <v>35</v>
      </c>
      <c r="S10" t="str">
        <f t="shared" si="4"/>
        <v>{mapType.first,mapType.last,{OUTPUT_TO_ENTITY,MAX_CONFIGURATION_STATE}},</v>
      </c>
    </row>
    <row r="11" spans="1:19" x14ac:dyDescent="0.45">
      <c r="A11">
        <f t="shared" si="0"/>
        <v>16</v>
      </c>
      <c r="B11" s="1" t="s">
        <v>28</v>
      </c>
      <c r="C11" s="1">
        <v>0</v>
      </c>
      <c r="D11" s="1" t="s">
        <v>22</v>
      </c>
      <c r="E11" s="4" t="s">
        <v>30</v>
      </c>
      <c r="F11" s="1" t="s">
        <v>29</v>
      </c>
      <c r="G11" s="5" t="s">
        <v>32</v>
      </c>
      <c r="H11" s="1"/>
      <c r="I11" s="1"/>
      <c r="J11" s="6"/>
      <c r="K11" t="s">
        <v>33</v>
      </c>
      <c r="L11" t="str">
        <f t="shared" si="1"/>
        <v>{0</v>
      </c>
      <c r="M11" t="s">
        <v>34</v>
      </c>
      <c r="N11" t="str">
        <f t="shared" si="2"/>
        <v>{0,ENTITY_MAX</v>
      </c>
      <c r="O11" t="s">
        <v>34</v>
      </c>
      <c r="P11" t="s">
        <v>33</v>
      </c>
      <c r="Q11" t="str">
        <f t="shared" si="3"/>
        <v>{0,ENTITY_MAX,{OUTPUT_INVERT,MAX_CONFIGURATION_STATE</v>
      </c>
      <c r="R11" t="s">
        <v>35</v>
      </c>
      <c r="S11" t="str">
        <f t="shared" si="4"/>
        <v>{0,ENTITY_MAX,{OUTPUT_INVERT,MAX_CONFIGURATION_STATE}},</v>
      </c>
    </row>
    <row r="12" spans="1:19" x14ac:dyDescent="0.45">
      <c r="A12">
        <f t="shared" si="0"/>
        <v>13</v>
      </c>
      <c r="B12" s="1" t="s">
        <v>29</v>
      </c>
      <c r="C12" s="1">
        <v>0</v>
      </c>
      <c r="D12" s="1">
        <v>1</v>
      </c>
      <c r="E12" s="1"/>
      <c r="F12" s="1" t="s">
        <v>4</v>
      </c>
      <c r="G12" s="5" t="s">
        <v>32</v>
      </c>
      <c r="H12" s="1"/>
      <c r="I12" s="1"/>
      <c r="J12" s="6"/>
      <c r="K12" t="s">
        <v>33</v>
      </c>
      <c r="L12" t="str">
        <f t="shared" si="1"/>
        <v>{0</v>
      </c>
      <c r="M12" t="s">
        <v>34</v>
      </c>
      <c r="N12" t="str">
        <f t="shared" si="2"/>
        <v>{0,1</v>
      </c>
      <c r="O12" t="s">
        <v>34</v>
      </c>
      <c r="P12" t="s">
        <v>33</v>
      </c>
      <c r="Q12" t="str">
        <f t="shared" si="3"/>
        <v>{0,1,{ENTITY,MAX_CONFIGURATION_STATE</v>
      </c>
      <c r="R12" t="s">
        <v>35</v>
      </c>
      <c r="S12" t="str">
        <f t="shared" si="4"/>
        <v>{0,1,{ENTITY,MAX_CONFIGURATION_STATE}},</v>
      </c>
    </row>
    <row r="13" spans="1:19" x14ac:dyDescent="0.45">
      <c r="A13">
        <f t="shared" si="0"/>
        <v>6</v>
      </c>
      <c r="B13" s="1" t="s">
        <v>4</v>
      </c>
      <c r="C13" s="1">
        <v>0</v>
      </c>
      <c r="D13" s="1" t="s">
        <v>17</v>
      </c>
      <c r="E13" s="1"/>
      <c r="F13" s="1" t="s">
        <v>5</v>
      </c>
      <c r="G13" s="5" t="s">
        <v>32</v>
      </c>
      <c r="H13" s="1"/>
      <c r="I13" s="1"/>
      <c r="J13" s="6"/>
      <c r="K13" t="s">
        <v>33</v>
      </c>
      <c r="L13" t="str">
        <f t="shared" si="1"/>
        <v>{0</v>
      </c>
      <c r="M13" t="s">
        <v>34</v>
      </c>
      <c r="N13" t="str">
        <f t="shared" si="2"/>
        <v>{0,MAX_ENTITY</v>
      </c>
      <c r="O13" t="s">
        <v>34</v>
      </c>
      <c r="P13" t="s">
        <v>33</v>
      </c>
      <c r="Q13" t="str">
        <f t="shared" si="3"/>
        <v>{0,MAX_ENTITY,{INTEGRATION_TIME,MAX_CONFIGURATION_STATE</v>
      </c>
      <c r="R13" t="s">
        <v>35</v>
      </c>
      <c r="S13" t="str">
        <f t="shared" si="4"/>
        <v>{0,MAX_ENTITY,{INTEGRATION_TIME,MAX_CONFIGURATION_STATE}},</v>
      </c>
    </row>
    <row r="14" spans="1:19" x14ac:dyDescent="0.45">
      <c r="A14">
        <f t="shared" si="0"/>
        <v>16</v>
      </c>
      <c r="B14" s="1" t="s">
        <v>5</v>
      </c>
      <c r="C14" s="1">
        <v>0</v>
      </c>
      <c r="D14" s="1" t="s">
        <v>23</v>
      </c>
      <c r="E14" s="1"/>
      <c r="F14" s="1" t="s">
        <v>6</v>
      </c>
      <c r="G14" s="5" t="s">
        <v>32</v>
      </c>
      <c r="H14" s="1"/>
      <c r="I14" s="1"/>
      <c r="J14" s="6"/>
      <c r="K14" t="s">
        <v>33</v>
      </c>
      <c r="L14" t="str">
        <f t="shared" si="1"/>
        <v>{0</v>
      </c>
      <c r="M14" t="s">
        <v>34</v>
      </c>
      <c r="N14" t="str">
        <f t="shared" si="2"/>
        <v>{0,MAX_SAMPLE</v>
      </c>
      <c r="O14" t="s">
        <v>34</v>
      </c>
      <c r="P14" t="s">
        <v>33</v>
      </c>
      <c r="Q14" t="str">
        <f t="shared" si="3"/>
        <v>{0,MAX_SAMPLE,{FLIP_TIME,MAX_CONFIGURATION_STATE</v>
      </c>
      <c r="R14" t="s">
        <v>35</v>
      </c>
      <c r="S14" t="str">
        <f t="shared" si="4"/>
        <v>{0,MAX_SAMPLE,{FLIP_TIME,MAX_CONFIGURATION_STATE}},</v>
      </c>
    </row>
    <row r="15" spans="1:19" x14ac:dyDescent="0.45">
      <c r="A15">
        <f t="shared" si="0"/>
        <v>9</v>
      </c>
      <c r="B15" s="1" t="s">
        <v>6</v>
      </c>
      <c r="C15" s="1">
        <v>0</v>
      </c>
      <c r="D15" s="1" t="s">
        <v>18</v>
      </c>
      <c r="E15" s="1"/>
      <c r="F15" s="1" t="s">
        <v>4</v>
      </c>
      <c r="G15" s="1" t="s">
        <v>1</v>
      </c>
      <c r="H15" s="1" t="s">
        <v>0</v>
      </c>
      <c r="I15" s="1" t="s">
        <v>7</v>
      </c>
      <c r="J15" s="3" t="s">
        <v>32</v>
      </c>
      <c r="K15" t="s">
        <v>33</v>
      </c>
      <c r="L15" t="str">
        <f t="shared" si="1"/>
        <v>{0</v>
      </c>
      <c r="M15" t="s">
        <v>34</v>
      </c>
      <c r="N15" t="str">
        <f t="shared" si="2"/>
        <v>{0,MAX_FLIP_TIME</v>
      </c>
      <c r="O15" t="s">
        <v>34</v>
      </c>
      <c r="P15" t="s">
        <v>33</v>
      </c>
      <c r="Q15" t="str">
        <f>N15&amp;O15&amp;P15&amp;F15&amp;","&amp;G15&amp;","&amp;H15&amp;","&amp;I15&amp;","&amp;J15</f>
        <v>{0,MAX_FLIP_TIME,{ENTITY,LAYER,REGION,FINISHED,MAX_CONFIGURATION_STATE</v>
      </c>
      <c r="R15" t="s">
        <v>36</v>
      </c>
      <c r="S15" t="str">
        <f t="shared" si="4"/>
        <v>{0,MAX_FLIP_TIME,{ENTITY,LAYER,REGION,FINISHED,MAX_CONFIGURATION_STATE}}</v>
      </c>
    </row>
    <row r="16" spans="1:19" x14ac:dyDescent="0.45">
      <c r="A16">
        <f t="shared" si="0"/>
        <v>8</v>
      </c>
      <c r="B16" s="3" t="s">
        <v>7</v>
      </c>
      <c r="C16" s="2">
        <v>0</v>
      </c>
      <c r="D16">
        <v>0</v>
      </c>
    </row>
    <row r="17" spans="1:14" x14ac:dyDescent="0.45">
      <c r="B17" s="5" t="s">
        <v>32</v>
      </c>
      <c r="L17" t="str">
        <f t="shared" si="1"/>
        <v/>
      </c>
      <c r="N17" t="str">
        <f t="shared" si="2"/>
        <v/>
      </c>
    </row>
    <row r="18" spans="1:14" x14ac:dyDescent="0.45">
      <c r="A18">
        <f>MAX(A2:A17)</f>
        <v>17</v>
      </c>
      <c r="B18">
        <f>COUNTA(B2:B16)</f>
        <v>15</v>
      </c>
    </row>
    <row r="20" spans="1:14" x14ac:dyDescent="0.45">
      <c r="B20" t="s">
        <v>8</v>
      </c>
    </row>
    <row r="21" spans="1:14" x14ac:dyDescent="0.45">
      <c r="B21" t="s">
        <v>9</v>
      </c>
    </row>
    <row r="22" spans="1:14" x14ac:dyDescent="0.45">
      <c r="B22" t="s">
        <v>10</v>
      </c>
    </row>
    <row r="23" spans="1:14" x14ac:dyDescent="0.45">
      <c r="B23" t="s">
        <v>11</v>
      </c>
    </row>
  </sheetData>
  <mergeCells count="1">
    <mergeCell ref="F1:J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9001D-B491-47D5-A6D9-510F60234845}">
  <dimension ref="A1:B13"/>
  <sheetViews>
    <sheetView tabSelected="1" workbookViewId="0">
      <selection activeCell="B8" sqref="B8"/>
    </sheetView>
  </sheetViews>
  <sheetFormatPr defaultRowHeight="14.25" x14ac:dyDescent="0.45"/>
  <cols>
    <col min="1" max="1" width="17.33203125" bestFit="1" customWidth="1"/>
  </cols>
  <sheetData>
    <row r="1" spans="1:2" x14ac:dyDescent="0.45">
      <c r="A1" s="1" t="s">
        <v>0</v>
      </c>
      <c r="B1" s="1">
        <v>0</v>
      </c>
    </row>
    <row r="2" spans="1:2" x14ac:dyDescent="0.45">
      <c r="A2" s="1" t="s">
        <v>1</v>
      </c>
      <c r="B2" s="1">
        <v>0</v>
      </c>
    </row>
    <row r="3" spans="1:2" x14ac:dyDescent="0.45">
      <c r="A3" s="1" t="s">
        <v>27</v>
      </c>
      <c r="B3" s="1">
        <v>0</v>
      </c>
    </row>
    <row r="4" spans="1:2" x14ac:dyDescent="0.45">
      <c r="A4" s="1" t="s">
        <v>3</v>
      </c>
      <c r="B4" s="1">
        <v>0</v>
      </c>
    </row>
    <row r="5" spans="1:2" x14ac:dyDescent="0.45">
      <c r="A5" s="1" t="s">
        <v>24</v>
      </c>
      <c r="B5" s="1">
        <v>0</v>
      </c>
    </row>
    <row r="6" spans="1:2" x14ac:dyDescent="0.45">
      <c r="A6" s="1" t="s">
        <v>25</v>
      </c>
      <c r="B6" s="1">
        <v>0</v>
      </c>
    </row>
    <row r="7" spans="1:2" x14ac:dyDescent="0.45">
      <c r="A7" s="1" t="s">
        <v>26</v>
      </c>
      <c r="B7" s="1">
        <v>0</v>
      </c>
    </row>
    <row r="8" spans="1:2" x14ac:dyDescent="0.45">
      <c r="A8" s="1" t="s">
        <v>2</v>
      </c>
      <c r="B8" s="1">
        <v>0</v>
      </c>
    </row>
    <row r="9" spans="1:2" x14ac:dyDescent="0.45">
      <c r="A9" s="1" t="s">
        <v>28</v>
      </c>
      <c r="B9" s="1">
        <v>0</v>
      </c>
    </row>
    <row r="10" spans="1:2" x14ac:dyDescent="0.45">
      <c r="A10" s="1" t="s">
        <v>29</v>
      </c>
      <c r="B10" s="1">
        <v>0</v>
      </c>
    </row>
    <row r="11" spans="1:2" x14ac:dyDescent="0.45">
      <c r="A11" s="1" t="s">
        <v>4</v>
      </c>
      <c r="B11" s="1">
        <v>0</v>
      </c>
    </row>
    <row r="12" spans="1:2" x14ac:dyDescent="0.45">
      <c r="A12" s="1" t="s">
        <v>5</v>
      </c>
      <c r="B12" s="1">
        <v>0</v>
      </c>
    </row>
    <row r="13" spans="1:2" x14ac:dyDescent="0.45">
      <c r="A13" s="1" t="s">
        <v>6</v>
      </c>
      <c r="B1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Wilson</dc:creator>
  <cp:lastModifiedBy>David Wilson</cp:lastModifiedBy>
  <dcterms:created xsi:type="dcterms:W3CDTF">2026-02-07T09:27:53Z</dcterms:created>
  <dcterms:modified xsi:type="dcterms:W3CDTF">2026-02-07T12:23:28Z</dcterms:modified>
</cp:coreProperties>
</file>