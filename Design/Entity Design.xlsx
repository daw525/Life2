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l80\Desktop\Programs\Life2\Design\"/>
    </mc:Choice>
  </mc:AlternateContent>
  <xr:revisionPtr revIDLastSave="0" documentId="13_ncr:1_{E3683328-63D3-4F33-B24F-6BF49E083B5A}" xr6:coauthVersionLast="47" xr6:coauthVersionMax="47" xr10:uidLastSave="{00000000-0000-0000-0000-000000000000}"/>
  <bookViews>
    <workbookView xWindow="3660" yWindow="1747" windowWidth="16200" windowHeight="9848" xr2:uid="{E4AFAD11-9829-478A-B5E6-14EF48AEE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C4" i="1"/>
  <c r="F5" i="1" l="1"/>
  <c r="G5" i="1"/>
  <c r="C5" i="1"/>
  <c r="E5" i="1"/>
  <c r="D5" i="1"/>
  <c r="D12" i="1" l="1"/>
  <c r="D7" i="1"/>
  <c r="C12" i="1"/>
  <c r="C7" i="1"/>
  <c r="G12" i="1"/>
  <c r="G7" i="1"/>
  <c r="F12" i="1"/>
  <c r="F7" i="1"/>
  <c r="E12" i="1"/>
  <c r="E7" i="1"/>
  <c r="H5" i="1"/>
  <c r="C8" i="1" l="1"/>
  <c r="D8" i="1"/>
  <c r="E8" i="1"/>
  <c r="F8" i="1"/>
  <c r="H7" i="1"/>
  <c r="H12" i="1"/>
  <c r="B8" i="1" l="1"/>
</calcChain>
</file>

<file path=xl/sharedStrings.xml><?xml version="1.0" encoding="utf-8"?>
<sst xmlns="http://schemas.openxmlformats.org/spreadsheetml/2006/main" count="11" uniqueCount="9">
  <si>
    <t>Sample</t>
  </si>
  <si>
    <t>Samples</t>
  </si>
  <si>
    <t>InputTrue</t>
  </si>
  <si>
    <t>OutputTrue</t>
  </si>
  <si>
    <t>Weighting</t>
  </si>
  <si>
    <t>Weighted</t>
  </si>
  <si>
    <t>RoC</t>
  </si>
  <si>
    <t>Latest sample</t>
  </si>
  <si>
    <t>Oldest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</si>
</sst>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Sheet1!$C$5:$G$5</c:f>
              <c:numCache>
                <c:formatCode>General</c:formatCode>
                <c:ptCount val="5"/>
                <c:pt idx="0">
                  <c:v>0.26513531234706567</c:v>
                </c:pt>
                <c:pt idx="1">
                  <c:v>0.21390950057393335</c:v>
                </c:pt>
                <c:pt idx="2">
                  <c:v>0.18812142956103672</c:v>
                </c:pt>
                <c:pt idx="3">
                  <c:v>0.17203440803409101</c:v>
                </c:pt>
                <c:pt idx="4">
                  <c:v>0.16079934948387328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E-4260-A09B-05FC5CAA4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615215"/>
        <c:axId val="1205615695"/>
      </c:scatterChart>
      <c:valAx>
        <c:axId val="12056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15695"/>
        <c:crosses val="autoZero"/>
        <c:crossBetween val="midCat"/>
      </c:valAx>
      <c:valAx>
        <c:axId val="12056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1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Sheet1!$C$4:$G$4</c:f>
              <c:numCache>
                <c:formatCode>General</c:formatCode>
                <c:ptCount val="5"/>
                <c:pt idx="0">
                  <c:v>0.59061610914964124</c:v>
                </c:pt>
                <c:pt idx="1">
                  <c:v>0.47650535804050431</c:v>
                </c:pt>
                <c:pt idx="2">
                  <c:v>0.41905978419640516</c:v>
                </c:pt>
                <c:pt idx="3">
                  <c:v>0.383224293337255</c:v>
                </c:pt>
                <c:pt idx="4">
                  <c:v>0.35819704778381511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8-461D-9FE5-7B289191F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963583"/>
        <c:axId val="1200964063"/>
      </c:scatterChart>
      <c:valAx>
        <c:axId val="120096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964063"/>
        <c:crosses val="autoZero"/>
        <c:crossBetween val="midCat"/>
      </c:valAx>
      <c:valAx>
        <c:axId val="12009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96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202406</xdr:colOff>
      <xdr:row>5</xdr:row>
      <xdr:rowOff>71437</xdr:rowOff>
    </xdr:from>
    <xdr:to>
      <xdr:col>15</xdr:col>
      <xdr:colOff>130968</xdr:colOff>
      <xdr:row>20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DF340-8A13-B60F-D38D-A0A53E3F5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478631</xdr:colOff>
      <xdr:row>6</xdr:row>
      <xdr:rowOff>52387</xdr:rowOff>
    </xdr:from>
    <xdr:to>
      <xdr:col>15</xdr:col>
      <xdr:colOff>407193</xdr:colOff>
      <xdr:row>21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69252-FCA1-2EC7-B5EF-998240A9D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D875-1824-47CF-84F5-5245512728A1}">
  <dimension ref="A1:H13"/>
  <sheetViews>
    <sheetView tabSelected="1" workbookViewId="0">
      <selection activeCell="H6" sqref="H6"/>
    </sheetView>
  </sheetViews>
  <sheetFormatPr defaultRowHeight="14.25" x14ac:dyDescent="0.45"/>
  <cols>
    <col min="2" max="6" width="11.73046875" bestFit="1" customWidth="1"/>
    <col min="7" max="7" width="11.9296875" bestFit="1" customWidth="1"/>
    <col min="8" max="8" width="13.19921875" bestFit="1" customWidth="1"/>
    <col min="9" max="9" width="10.59765625" customWidth="1"/>
  </cols>
  <sheetData>
    <row r="1" spans="1:8" x14ac:dyDescent="0.45">
      <c r="B1" t="s">
        <v>1</v>
      </c>
      <c r="C1">
        <v>5</v>
      </c>
    </row>
    <row r="2" spans="1:8" x14ac:dyDescent="0.45">
      <c r="C2" s="1" t="s">
        <v>7</v>
      </c>
      <c r="G2" s="1" t="s">
        <v>8</v>
      </c>
    </row>
    <row r="3" spans="1:8" x14ac:dyDescent="0.45">
      <c r="B3" t="s">
        <v>0</v>
      </c>
      <c r="C3" s="1">
        <v>1</v>
      </c>
      <c r="D3">
        <v>2</v>
      </c>
      <c r="E3">
        <v>3</v>
      </c>
      <c r="F3">
        <v>4</v>
      </c>
      <c r="G3" s="1">
        <v>5</v>
      </c>
    </row>
    <row r="4" spans="1:8" x14ac:dyDescent="0.45">
      <c r="C4" s="1">
        <f>1 / (1 + LN(COLUMN() - COLUMN($C$6) + 2))</f>
        <v>0.59061610914964124</v>
      </c>
      <c r="D4">
        <f>1 / (1 + LN(COLUMN() - COLUMN($C$6) + 2))</f>
        <v>0.47650535804050431</v>
      </c>
      <c r="E4">
        <f>1 / (1 + LN(COLUMN() - COLUMN($C$6) + 2))</f>
        <v>0.41905978419640516</v>
      </c>
      <c r="F4">
        <f>1 / (1 + LN(COLUMN() - COLUMN($C$6) + 2))</f>
        <v>0.383224293337255</v>
      </c>
      <c r="G4" s="1">
        <f>1 / (1 + LN(COLUMN() - COLUMN($C$6) + 2))</f>
        <v>0.35819704778381511</v>
      </c>
    </row>
    <row r="5" spans="1:8" x14ac:dyDescent="0.45">
      <c r="B5" t="s">
        <v>4</v>
      </c>
      <c r="C5" s="1">
        <f>C4 / SUM($C$4:$G$4)</f>
        <v>0.26513531234706567</v>
      </c>
      <c r="D5">
        <f>D4 / SUM($C$4:$G$4)</f>
        <v>0.21390950057393335</v>
      </c>
      <c r="E5">
        <f>E4 / SUM($C$4:$G$4)</f>
        <v>0.18812142956103672</v>
      </c>
      <c r="F5">
        <f>F4 / SUM($C$4:$G$4)</f>
        <v>0.17203440803409101</v>
      </c>
      <c r="G5" s="1">
        <f>G4 / SUM($C$4:$G$4)</f>
        <v>0.16079934948387328</v>
      </c>
      <c r="H5">
        <f>SUM(C5:G5)</f>
        <v>1</v>
      </c>
    </row>
    <row r="6" spans="1:8" x14ac:dyDescent="0.45">
      <c r="B6" t="s">
        <v>2</v>
      </c>
      <c r="C6" s="1">
        <v>1</v>
      </c>
      <c r="D6">
        <v>1</v>
      </c>
      <c r="E6">
        <v>1</v>
      </c>
      <c r="F6">
        <v>1</v>
      </c>
      <c r="G6" s="1">
        <v>1</v>
      </c>
    </row>
    <row r="7" spans="1:8" x14ac:dyDescent="0.45">
      <c r="B7" t="s">
        <v>5</v>
      </c>
      <c r="C7" s="1">
        <f>C6*C5</f>
        <v>0.26513531234706567</v>
      </c>
      <c r="D7">
        <f t="shared" ref="D7:G7" si="0">D6*D5</f>
        <v>0.21390950057393335</v>
      </c>
      <c r="E7">
        <f t="shared" si="0"/>
        <v>0.18812142956103672</v>
      </c>
      <c r="F7">
        <f t="shared" si="0"/>
        <v>0.17203440803409101</v>
      </c>
      <c r="G7" s="1">
        <f t="shared" si="0"/>
        <v>0.16079934948387328</v>
      </c>
      <c r="H7">
        <f>SUM(C7:G7)</f>
        <v>1</v>
      </c>
    </row>
    <row r="8" spans="1:8" x14ac:dyDescent="0.45">
      <c r="A8" t="s">
        <v>6</v>
      </c>
      <c r="B8">
        <f>AVERAGE(C8:F8)</f>
        <v>2.6083990715798096E-2</v>
      </c>
      <c r="C8">
        <f>C7-D7</f>
        <v>5.1225811773132318E-2</v>
      </c>
      <c r="D8">
        <f>D7-E7</f>
        <v>2.5788071012896624E-2</v>
      </c>
      <c r="E8">
        <f>E7-F7</f>
        <v>1.6087021526945716E-2</v>
      </c>
      <c r="F8">
        <f>F7-G7</f>
        <v>1.1235058550217725E-2</v>
      </c>
      <c r="G8" s="1"/>
    </row>
    <row r="9" spans="1:8" x14ac:dyDescent="0.45">
      <c r="C9" s="1"/>
      <c r="G9" s="1"/>
    </row>
    <row r="10" spans="1:8" x14ac:dyDescent="0.45">
      <c r="C10" s="1"/>
      <c r="G10" s="1"/>
    </row>
    <row r="11" spans="1:8" x14ac:dyDescent="0.45">
      <c r="B11" t="s">
        <v>3</v>
      </c>
      <c r="C11" s="1">
        <v>1</v>
      </c>
      <c r="D11">
        <v>1</v>
      </c>
      <c r="E11">
        <v>1</v>
      </c>
      <c r="F11">
        <v>1</v>
      </c>
      <c r="G11" s="1">
        <v>1</v>
      </c>
    </row>
    <row r="12" spans="1:8" x14ac:dyDescent="0.45">
      <c r="B12" t="s">
        <v>5</v>
      </c>
      <c r="C12" s="1">
        <f>C11*C5</f>
        <v>0.26513531234706567</v>
      </c>
      <c r="D12">
        <f>D11*D5</f>
        <v>0.21390950057393335</v>
      </c>
      <c r="E12">
        <f>E11*E5</f>
        <v>0.18812142956103672</v>
      </c>
      <c r="F12">
        <f>F11*F5</f>
        <v>0.17203440803409101</v>
      </c>
      <c r="G12" s="1">
        <f>G11*G5</f>
        <v>0.16079934948387328</v>
      </c>
      <c r="H12">
        <f>SUM(C12:G12)</f>
        <v>1</v>
      </c>
    </row>
    <row r="13" spans="1:8" x14ac:dyDescent="0.45">
      <c r="A13" t="s">
        <v>6</v>
      </c>
      <c r="G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Wilson</dc:creator>
  <cp:lastModifiedBy>David Wilson</cp:lastModifiedBy>
  <dcterms:created xsi:type="dcterms:W3CDTF">2026-02-14T20:44:22Z</dcterms:created>
  <dcterms:modified xsi:type="dcterms:W3CDTF">2026-02-14T23:14:15Z</dcterms:modified>
</cp:coreProperties>
</file>